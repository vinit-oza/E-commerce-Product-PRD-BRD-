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Phase Quotation" sheetId="2" state="visible" r:id="rId4"/>
    <sheet name="Payment Schedule" sheetId="3" state="visible" r:id="rId5"/>
    <sheet name="Resource Plan" sheetId="4" state="visible" r:id="rId6"/>
    <sheet name="Other Co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<sst xmlns="http://schemas.openxmlformats.org/spreadsheetml/2006/main" count="144" uniqueCount="136">
  <si>
    <t xml:space="preserve">PROJECT BUDGET SUMMARY</t>
  </si>
  <si>
    <t xml:space="preserve">Bottoms-up build cost (pre-tax) — cross-references Resource Plan &amp; Other Costs</t>
  </si>
  <si>
    <t xml:space="preserve">Cost Block</t>
  </si>
  <si>
    <t xml:space="preserve">Amount (₹)</t>
  </si>
  <si>
    <t xml:space="preserve">% of Pre-Tax Budget</t>
  </si>
  <si>
    <t xml:space="preserve">A. Personnel (delivery team)</t>
  </si>
  <si>
    <t xml:space="preserve">B. Non-Personnel (infra, tools, integrations, marketing)</t>
  </si>
  <si>
    <t xml:space="preserve">Sub-Total (A + B)</t>
  </si>
  <si>
    <t xml:space="preserve">Contingency / Management Reserve @ 8%</t>
  </si>
  <si>
    <t xml:space="preserve">TOTAL PROJECT BUDGET (Pre-Tax)</t>
  </si>
  <si>
    <t xml:space="preserve">GST (18%) is shown in the client-facing Quotation sheet; it is recoverable as input tax credit and excluded from the internal build budget.</t>
  </si>
  <si>
    <t xml:space="preserve">PHASE-WISE QUOTATION</t>
  </si>
  <si>
    <t xml:space="preserve">Pre-tax budget allocated across delivery phases, plus GST to arrive at the all-inclusive quotation</t>
  </si>
  <si>
    <t xml:space="preserve">#</t>
  </si>
  <si>
    <t xml:space="preserve">Project Phase</t>
  </si>
  <si>
    <t xml:space="preserve">Key Deliverables</t>
  </si>
  <si>
    <t xml:space="preserve">Duration</t>
  </si>
  <si>
    <t xml:space="preserve">% of
Budget</t>
  </si>
  <si>
    <t xml:space="preserve">Phase Cost (₹)</t>
  </si>
  <si>
    <t xml:space="preserve">Initiation &amp; Discovery</t>
  </si>
  <si>
    <t xml:space="preserve">Project charter, kickoff, governance setup, vision workshop</t>
  </si>
  <si>
    <t xml:space="preserve">Month 1</t>
  </si>
  <si>
    <t xml:space="preserve">Requirements &amp; Analysis</t>
  </si>
  <si>
    <t xml:space="preserve">BRD, SRS, FRD, process maps, backlog, RTM</t>
  </si>
  <si>
    <t xml:space="preserve">Months 1–2.5</t>
  </si>
  <si>
    <t xml:space="preserve">UX / UI Design</t>
  </si>
  <si>
    <t xml:space="preserve">Wireframes, prototypes, design system, usability testing</t>
  </si>
  <si>
    <t xml:space="preserve">Months 2–3.5</t>
  </si>
  <si>
    <t xml:space="preserve">Architecture &amp; Environment Setup</t>
  </si>
  <si>
    <t xml:space="preserve">Solution architecture, CI/CD, cloud landing zone</t>
  </si>
  <si>
    <t xml:space="preserve">Months 2–3</t>
  </si>
  <si>
    <t xml:space="preserve">Core Platform Development</t>
  </si>
  <si>
    <t xml:space="preserve">Catalog, search, cart, checkout, orders, accounts, admin</t>
  </si>
  <si>
    <t xml:space="preserve">Months 3–8</t>
  </si>
  <si>
    <t xml:space="preserve">Supply Chain &amp; Integrations</t>
  </si>
  <si>
    <t xml:space="preserve">Inventory/WMS, payments, logistics, ERP, notifications</t>
  </si>
  <si>
    <t xml:space="preserve">Months 5–8</t>
  </si>
  <si>
    <t xml:space="preserve">Testing &amp; QA</t>
  </si>
  <si>
    <t xml:space="preserve">Functional, regression, performance, security, automation</t>
  </si>
  <si>
    <t xml:space="preserve">Months 6–9</t>
  </si>
  <si>
    <t xml:space="preserve">UAT, Security Audit &amp; Deployment</t>
  </si>
  <si>
    <t xml:space="preserve">UAT, VAPT, performance sign-off, prod cut-over</t>
  </si>
  <si>
    <t xml:space="preserve">Months 9–10</t>
  </si>
  <si>
    <t xml:space="preserve">Marketing &amp; Go-Live</t>
  </si>
  <si>
    <t xml:space="preserve">Campaigns, ASO/SEO, launch, app-store release</t>
  </si>
  <si>
    <t xml:space="preserve">Months 9–11</t>
  </si>
  <si>
    <t xml:space="preserve">Hypercare &amp; Stabilization</t>
  </si>
  <si>
    <t xml:space="preserve">Production support, defect triage, handover</t>
  </si>
  <si>
    <t xml:space="preserve">Month 11</t>
  </si>
  <si>
    <t xml:space="preserve">Sub-Total (Pre-Tax)</t>
  </si>
  <si>
    <t xml:space="preserve">GST @ 18%</t>
  </si>
  <si>
    <t xml:space="preserve">GRAND TOTAL QUOTATION (Incl. GST)</t>
  </si>
  <si>
    <t xml:space="preserve">MILESTONE-LINKED PAYMENT / DISBURSEMENT SCHEDULE</t>
  </si>
  <si>
    <t xml:space="preserve">Disbursements released against milestone acceptance — % of all-inclusive quotation</t>
  </si>
  <si>
    <t xml:space="preserve">Milestone</t>
  </si>
  <si>
    <t xml:space="preserve">Acceptance Trigger</t>
  </si>
  <si>
    <t xml:space="preserve">Target</t>
  </si>
  <si>
    <t xml:space="preserve">% of
Total</t>
  </si>
  <si>
    <t xml:space="preserve">M0 – Mobilization</t>
  </si>
  <si>
    <t xml:space="preserve">Charter signed, team &amp; governance mobilized</t>
  </si>
  <si>
    <t xml:space="preserve">M1 – Requirements &amp; Design Sign-off</t>
  </si>
  <si>
    <t xml:space="preserve">SRS, FRD &amp; UX prototype approved</t>
  </si>
  <si>
    <t xml:space="preserve">Month 3.5</t>
  </si>
  <si>
    <t xml:space="preserve">M2 – Architecture Baseline</t>
  </si>
  <si>
    <t xml:space="preserve">Architecture + CI/CD + Sprint 1–2 demo</t>
  </si>
  <si>
    <t xml:space="preserve">Month 4</t>
  </si>
  <si>
    <t xml:space="preserve">M3 – MVP Feature-Complete (50%)</t>
  </si>
  <si>
    <t xml:space="preserve">Core commerce flows demoable in staging</t>
  </si>
  <si>
    <t xml:space="preserve">Month 6</t>
  </si>
  <si>
    <t xml:space="preserve">M4 – Build Complete (100%)</t>
  </si>
  <si>
    <t xml:space="preserve">All features + integrations code-complete</t>
  </si>
  <si>
    <t xml:space="preserve">Month 8</t>
  </si>
  <si>
    <t xml:space="preserve">M5 – QA &amp; UAT Sign-off</t>
  </si>
  <si>
    <t xml:space="preserve">Test exit + UAT acceptance + VAPT closed</t>
  </si>
  <si>
    <t xml:space="preserve">Month 10</t>
  </si>
  <si>
    <t xml:space="preserve">M6 – Go-Live</t>
  </si>
  <si>
    <t xml:space="preserve">Production launch, web + apps live</t>
  </si>
  <si>
    <t xml:space="preserve">M7 – Final Acceptance</t>
  </si>
  <si>
    <t xml:space="preserve">Hypercare complete, handover signed</t>
  </si>
  <si>
    <t xml:space="preserve">TOTAL</t>
  </si>
  <si>
    <t xml:space="preserve">PROJECT HORIZON  —  RESOURCE &amp; PERSONNEL PLAN</t>
  </si>
  <si>
    <t xml:space="preserve">Meridian Retail Pvt. Ltd.  |  ShopSphere E-Commerce Platform  |  Blended India CTC rates (FY 2025-26), all figures in INR</t>
  </si>
  <si>
    <t xml:space="preserve">Role / Discipline</t>
  </si>
  <si>
    <t xml:space="preserve">Head-
count</t>
  </si>
  <si>
    <t xml:space="preserve">Monthly Cost-to-Co. (₹)</t>
  </si>
  <si>
    <t xml:space="preserve">Person-
Months</t>
  </si>
  <si>
    <t xml:space="preserve">Total Cost (₹)</t>
  </si>
  <si>
    <t xml:space="preserve">Engagement Window</t>
  </si>
  <si>
    <t xml:space="preserve">Project Manager (IT)</t>
  </si>
  <si>
    <t xml:space="preserve">M1–M11 (full project)</t>
  </si>
  <si>
    <t xml:space="preserve">Business Analyst</t>
  </si>
  <si>
    <t xml:space="preserve">M1–M8 (front-loaded)</t>
  </si>
  <si>
    <t xml:space="preserve">Solution / Technical Architect</t>
  </si>
  <si>
    <t xml:space="preserve">M1–M9</t>
  </si>
  <si>
    <t xml:space="preserve">Scrum Master</t>
  </si>
  <si>
    <t xml:space="preserve">M2–M10</t>
  </si>
  <si>
    <t xml:space="preserve">UX / UI Designer</t>
  </si>
  <si>
    <t xml:space="preserve">M1–M7</t>
  </si>
  <si>
    <t xml:space="preserve">Frontend Developer (Web)</t>
  </si>
  <si>
    <t xml:space="preserve">M3–M9</t>
  </si>
  <si>
    <t xml:space="preserve">Backend Developer (Microservices)</t>
  </si>
  <si>
    <t xml:space="preserve">M3–M10</t>
  </si>
  <si>
    <t xml:space="preserve">Mobile Developer (iOS + Android)</t>
  </si>
  <si>
    <t xml:space="preserve">DevOps / SRE Engineer</t>
  </si>
  <si>
    <t xml:space="preserve">M2–M11</t>
  </si>
  <si>
    <t xml:space="preserve">Data / Supply-Chain Engineer</t>
  </si>
  <si>
    <t xml:space="preserve">M4–M10</t>
  </si>
  <si>
    <t xml:space="preserve">QA / Test Engineer</t>
  </si>
  <si>
    <t xml:space="preserve">M5–M10</t>
  </si>
  <si>
    <t xml:space="preserve">Security &amp; Compliance Specialist</t>
  </si>
  <si>
    <t xml:space="preserve">M8–M10</t>
  </si>
  <si>
    <t xml:space="preserve">TOTAL PERSONNEL COST</t>
  </si>
  <si>
    <t xml:space="preserve">Blue figures are editable assumptions (monthly CTC, person-months). All totals are live formulas.</t>
  </si>
  <si>
    <t xml:space="preserve">NON-PERSONNEL COSTS</t>
  </si>
  <si>
    <t xml:space="preserve">Infrastructure, tooling, integrations, security, data, marketing &amp; launch — all figures in INR</t>
  </si>
  <si>
    <t xml:space="preserve">Cost Category</t>
  </si>
  <si>
    <t xml:space="preserve">Description / Basis</t>
  </si>
  <si>
    <t xml:space="preserve">Cloud Infrastructure</t>
  </si>
  <si>
    <t xml:space="preserve">Dev/Staging/Prod on cloud; compute, DB, CDN, storage (11-mo ramp)</t>
  </si>
  <si>
    <t xml:space="preserve">Software Licenses &amp; Tools</t>
  </si>
  <si>
    <t xml:space="preserve">Jira, Confluence, Figma, GitHub Enterprise, CI/CD, APM/monitoring</t>
  </si>
  <si>
    <t xml:space="preserve">Third-Party Integrations &amp; APIs</t>
  </si>
  <si>
    <t xml:space="preserve">Payment gateway, SMS/WhatsApp/email, logistics &amp; shipping, maps</t>
  </si>
  <si>
    <t xml:space="preserve">Security Audit &amp; Compliance</t>
  </si>
  <si>
    <t xml:space="preserve">VAPT, PCI-DSS readiness, DPDP Act review, source-code review</t>
  </si>
  <si>
    <t xml:space="preserve">Testing Tools &amp; Device Lab</t>
  </si>
  <si>
    <t xml:space="preserve">Cross-browser cloud, load/performance tools, mobile device lab</t>
  </si>
  <si>
    <t xml:space="preserve">Data Migration &amp; Integration</t>
  </si>
  <si>
    <t xml:space="preserve">Legacy catalog, customer &amp; order migration; ERP/WMS connectors</t>
  </si>
  <si>
    <t xml:space="preserve">Marketing &amp; Launch</t>
  </si>
  <si>
    <t xml:space="preserve">Digital ads, ASO/SEO, influencer, creatives, launch event</t>
  </si>
  <si>
    <t xml:space="preserve">Training &amp; Documentation</t>
  </si>
  <si>
    <t xml:space="preserve">CS/ops enablement, admin &amp; user manuals, runbooks</t>
  </si>
  <si>
    <t xml:space="preserve">Hardware &amp; Contingency Misc.</t>
  </si>
  <si>
    <t xml:space="preserve">Workstations, secure access, miscellaneous provisioning</t>
  </si>
  <si>
    <t xml:space="preserve">TOTAL NON-PERSONNEL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</si>
</sst>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&gt;=10000000]\₹##\,##\,##\,##0;[&gt;=100000]\₹##\,##\,##0;\₹##,##0"/>
    <numFmt numFmtId="166" formatCode="0.0%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DE6F2"/>
        <bgColor rgb="FFEEF3FA"/>
      </patternFill>
    </fill>
    <fill>
      <patternFill patternType="solid">
        <fgColor rgb="FFBF9000"/>
        <bgColor rgb="FF808000"/>
      </patternFill>
    </fill>
    <fill>
      <patternFill patternType="solid">
        <fgColor rgb="FFEE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A"/>
      <rgbColor rgb="FFDD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2"/>
    <col collapsed="false" customWidth="true" hidden="false" outlineLevel="0" max="3" min="3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'Resource Plan'!F17</f>
        <v>28280000</v>
      </c>
      <c r="C5" s="7" t="n">
        <f aca="false">B5/$B$9</f>
        <v>0.698644215186371</v>
      </c>
    </row>
    <row r="6" customFormat="false" ht="15" hidden="false" customHeight="false" outlineLevel="0" collapsed="false">
      <c r="A6" s="5" t="s">
        <v>6</v>
      </c>
      <c r="B6" s="6" t="n">
        <f aca="false">'Other Costs'!D14</f>
        <v>9200000</v>
      </c>
      <c r="C6" s="7" t="n">
        <f aca="false">B6/$B$9</f>
        <v>0.227281710739555</v>
      </c>
    </row>
    <row r="7" customFormat="false" ht="15" hidden="false" customHeight="false" outlineLevel="0" collapsed="false">
      <c r="A7" s="8" t="s">
        <v>7</v>
      </c>
      <c r="B7" s="9" t="n">
        <f aca="false">B5+B6</f>
        <v>37480000</v>
      </c>
      <c r="C7" s="10" t="n">
        <f aca="false">B7/$B$9</f>
        <v>0.925925925925926</v>
      </c>
    </row>
    <row r="8" customFormat="false" ht="15" hidden="false" customHeight="false" outlineLevel="0" collapsed="false">
      <c r="A8" s="8" t="s">
        <v>8</v>
      </c>
      <c r="B8" s="9" t="n">
        <f aca="false">B7*0.08</f>
        <v>2998400</v>
      </c>
      <c r="C8" s="10" t="n">
        <f aca="false">B8/$B$9</f>
        <v>0.0740740740740741</v>
      </c>
    </row>
    <row r="9" customFormat="false" ht="15" hidden="false" customHeight="false" outlineLevel="0" collapsed="false">
      <c r="A9" s="11" t="s">
        <v>9</v>
      </c>
      <c r="B9" s="12" t="n">
        <f aca="false">B7+B8</f>
        <v>40478400</v>
      </c>
      <c r="C9" s="13" t="n">
        <f aca="false">B9/$B$9</f>
        <v>1</v>
      </c>
    </row>
    <row r="11" customFormat="false" ht="27.75" hidden="false" customHeight="true" outlineLevel="0" collapsed="false">
      <c r="A11" s="14" t="s">
        <v>10</v>
      </c>
      <c r="B11" s="14"/>
      <c r="C11" s="14"/>
    </row>
  </sheetData>
  <mergeCells count="3">
    <mergeCell ref="A1:G1"/>
    <mergeCell ref="A2:G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4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8"/>
  </cols>
  <sheetData>
    <row r="1" customFormat="false" ht="30" hidden="false" customHeight="true" outlineLevel="0" collapsed="false">
      <c r="A1" s="2" t="s">
        <v>11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12</v>
      </c>
      <c r="B2" s="3"/>
      <c r="C2" s="3"/>
      <c r="D2" s="3"/>
      <c r="E2" s="3"/>
      <c r="F2" s="3"/>
      <c r="G2" s="3"/>
    </row>
    <row r="4" customFormat="false" ht="23.85" hidden="false" customHeight="fals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customFormat="false" ht="23.85" hidden="false" customHeight="false" outlineLevel="0" collapsed="false">
      <c r="A5" s="15" t="n">
        <v>1</v>
      </c>
      <c r="B5" s="16" t="s">
        <v>19</v>
      </c>
      <c r="C5" s="16" t="s">
        <v>20</v>
      </c>
      <c r="D5" s="15" t="s">
        <v>21</v>
      </c>
      <c r="E5" s="17" t="n">
        <v>0.04</v>
      </c>
      <c r="F5" s="18" t="n">
        <f aca="false">E5*'Budget Summary'!B9</f>
        <v>1619136</v>
      </c>
    </row>
    <row r="6" customFormat="false" ht="15" hidden="false" customHeight="false" outlineLevel="0" collapsed="false">
      <c r="A6" s="19" t="n">
        <v>2</v>
      </c>
      <c r="B6" s="20" t="s">
        <v>22</v>
      </c>
      <c r="C6" s="20" t="s">
        <v>23</v>
      </c>
      <c r="D6" s="19" t="s">
        <v>24</v>
      </c>
      <c r="E6" s="17" t="n">
        <v>0.07</v>
      </c>
      <c r="F6" s="18" t="n">
        <f aca="false">E6*'Budget Summary'!B9</f>
        <v>2833488</v>
      </c>
    </row>
    <row r="7" customFormat="false" ht="23.85" hidden="false" customHeight="false" outlineLevel="0" collapsed="false">
      <c r="A7" s="15" t="n">
        <v>3</v>
      </c>
      <c r="B7" s="16" t="s">
        <v>25</v>
      </c>
      <c r="C7" s="16" t="s">
        <v>26</v>
      </c>
      <c r="D7" s="15" t="s">
        <v>27</v>
      </c>
      <c r="E7" s="17" t="n">
        <v>0.09</v>
      </c>
      <c r="F7" s="18" t="n">
        <f aca="false">E7*'Budget Summary'!B9</f>
        <v>3643056</v>
      </c>
    </row>
    <row r="8" customFormat="false" ht="15" hidden="false" customHeight="false" outlineLevel="0" collapsed="false">
      <c r="A8" s="19" t="n">
        <v>4</v>
      </c>
      <c r="B8" s="20" t="s">
        <v>28</v>
      </c>
      <c r="C8" s="20" t="s">
        <v>29</v>
      </c>
      <c r="D8" s="19" t="s">
        <v>30</v>
      </c>
      <c r="E8" s="17" t="n">
        <v>0.06</v>
      </c>
      <c r="F8" s="18" t="n">
        <f aca="false">E8*'Budget Summary'!B9</f>
        <v>2428704</v>
      </c>
    </row>
    <row r="9" customFormat="false" ht="23.85" hidden="false" customHeight="false" outlineLevel="0" collapsed="false">
      <c r="A9" s="15" t="n">
        <v>5</v>
      </c>
      <c r="B9" s="16" t="s">
        <v>31</v>
      </c>
      <c r="C9" s="16" t="s">
        <v>32</v>
      </c>
      <c r="D9" s="15" t="s">
        <v>33</v>
      </c>
      <c r="E9" s="17" t="n">
        <v>0.34</v>
      </c>
      <c r="F9" s="18" t="n">
        <f aca="false">E9*'Budget Summary'!B9</f>
        <v>13762656</v>
      </c>
    </row>
    <row r="10" customFormat="false" ht="23.85" hidden="false" customHeight="false" outlineLevel="0" collapsed="false">
      <c r="A10" s="19" t="n">
        <v>6</v>
      </c>
      <c r="B10" s="20" t="s">
        <v>34</v>
      </c>
      <c r="C10" s="20" t="s">
        <v>35</v>
      </c>
      <c r="D10" s="19" t="s">
        <v>36</v>
      </c>
      <c r="E10" s="17" t="n">
        <v>0.1</v>
      </c>
      <c r="F10" s="18" t="n">
        <f aca="false">E10*'Budget Summary'!B9</f>
        <v>4047840</v>
      </c>
    </row>
    <row r="11" customFormat="false" ht="23.85" hidden="false" customHeight="false" outlineLevel="0" collapsed="false">
      <c r="A11" s="15" t="n">
        <v>7</v>
      </c>
      <c r="B11" s="16" t="s">
        <v>37</v>
      </c>
      <c r="C11" s="16" t="s">
        <v>38</v>
      </c>
      <c r="D11" s="15" t="s">
        <v>39</v>
      </c>
      <c r="E11" s="17" t="n">
        <v>0.09</v>
      </c>
      <c r="F11" s="18" t="n">
        <f aca="false">E11*'Budget Summary'!B9</f>
        <v>3643056</v>
      </c>
    </row>
    <row r="12" customFormat="false" ht="15" hidden="false" customHeight="false" outlineLevel="0" collapsed="false">
      <c r="A12" s="19" t="n">
        <v>8</v>
      </c>
      <c r="B12" s="20" t="s">
        <v>40</v>
      </c>
      <c r="C12" s="20" t="s">
        <v>41</v>
      </c>
      <c r="D12" s="19" t="s">
        <v>42</v>
      </c>
      <c r="E12" s="17" t="n">
        <v>0.07</v>
      </c>
      <c r="F12" s="18" t="n">
        <f aca="false">E12*'Budget Summary'!B9</f>
        <v>2833488</v>
      </c>
    </row>
    <row r="13" customFormat="false" ht="15" hidden="false" customHeight="false" outlineLevel="0" collapsed="false">
      <c r="A13" s="15" t="n">
        <v>9</v>
      </c>
      <c r="B13" s="16" t="s">
        <v>43</v>
      </c>
      <c r="C13" s="16" t="s">
        <v>44</v>
      </c>
      <c r="D13" s="15" t="s">
        <v>45</v>
      </c>
      <c r="E13" s="17" t="n">
        <v>0.11</v>
      </c>
      <c r="F13" s="18" t="n">
        <f aca="false">E13*'Budget Summary'!B9</f>
        <v>4452624</v>
      </c>
    </row>
    <row r="14" customFormat="false" ht="15" hidden="false" customHeight="false" outlineLevel="0" collapsed="false">
      <c r="A14" s="19" t="n">
        <v>10</v>
      </c>
      <c r="B14" s="20" t="s">
        <v>46</v>
      </c>
      <c r="C14" s="20" t="s">
        <v>47</v>
      </c>
      <c r="D14" s="19" t="s">
        <v>48</v>
      </c>
      <c r="E14" s="17" t="n">
        <v>0.03</v>
      </c>
      <c r="F14" s="18" t="n">
        <f aca="false">E14*'Budget Summary'!B9</f>
        <v>1214352</v>
      </c>
    </row>
    <row r="15" customFormat="false" ht="15" hidden="false" customHeight="false" outlineLevel="0" collapsed="false">
      <c r="A15" s="21"/>
      <c r="B15" s="22" t="s">
        <v>49</v>
      </c>
      <c r="C15" s="21"/>
      <c r="D15" s="21"/>
      <c r="E15" s="23" t="n">
        <f aca="false">SUM(E5:E14)</f>
        <v>1</v>
      </c>
      <c r="F15" s="24" t="n">
        <f aca="false">SUM(F5:F14)</f>
        <v>40478400</v>
      </c>
    </row>
    <row r="16" customFormat="false" ht="15" hidden="false" customHeight="false" outlineLevel="0" collapsed="false">
      <c r="A16" s="21"/>
      <c r="B16" s="22" t="s">
        <v>50</v>
      </c>
      <c r="C16" s="21"/>
      <c r="D16" s="21"/>
      <c r="E16" s="21"/>
      <c r="F16" s="24" t="n">
        <f aca="false">F15*0.18</f>
        <v>7286112</v>
      </c>
    </row>
    <row r="17" customFormat="false" ht="15" hidden="false" customHeight="false" outlineLevel="0" collapsed="false">
      <c r="A17" s="25"/>
      <c r="B17" s="11" t="s">
        <v>51</v>
      </c>
      <c r="C17" s="25"/>
      <c r="D17" s="25"/>
      <c r="E17" s="25"/>
      <c r="F17" s="12" t="n">
        <f aca="false">F15+F16</f>
        <v>47764512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8"/>
  </cols>
  <sheetData>
    <row r="1" customFormat="false" ht="30" hidden="false" customHeight="true" outlineLevel="0" collapsed="false">
      <c r="A1" s="2" t="s">
        <v>52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53</v>
      </c>
      <c r="B2" s="3"/>
      <c r="C2" s="3"/>
      <c r="D2" s="3"/>
      <c r="E2" s="3"/>
      <c r="F2" s="3"/>
      <c r="G2" s="3"/>
    </row>
    <row r="4" customFormat="false" ht="23.85" hidden="false" customHeight="false" outlineLevel="0" collapsed="false">
      <c r="A4" s="4" t="s">
        <v>54</v>
      </c>
      <c r="B4" s="4" t="s">
        <v>55</v>
      </c>
      <c r="C4" s="4" t="s">
        <v>56</v>
      </c>
      <c r="D4" s="4" t="s">
        <v>57</v>
      </c>
      <c r="E4" s="4" t="s">
        <v>3</v>
      </c>
    </row>
    <row r="5" customFormat="false" ht="15" hidden="false" customHeight="false" outlineLevel="0" collapsed="false">
      <c r="A5" s="16" t="s">
        <v>58</v>
      </c>
      <c r="B5" s="16" t="s">
        <v>59</v>
      </c>
      <c r="C5" s="15" t="s">
        <v>21</v>
      </c>
      <c r="D5" s="17" t="n">
        <v>0.1</v>
      </c>
      <c r="E5" s="18" t="n">
        <f aca="false">D5*'Phase Quotation'!F17</f>
        <v>4776451.2</v>
      </c>
    </row>
    <row r="6" customFormat="false" ht="15" hidden="false" customHeight="false" outlineLevel="0" collapsed="false">
      <c r="A6" s="20" t="s">
        <v>60</v>
      </c>
      <c r="B6" s="20" t="s">
        <v>61</v>
      </c>
      <c r="C6" s="19" t="s">
        <v>62</v>
      </c>
      <c r="D6" s="17" t="n">
        <v>0.15</v>
      </c>
      <c r="E6" s="18" t="n">
        <f aca="false">D6*'Phase Quotation'!F17</f>
        <v>7164676.8</v>
      </c>
    </row>
    <row r="7" customFormat="false" ht="15" hidden="false" customHeight="false" outlineLevel="0" collapsed="false">
      <c r="A7" s="16" t="s">
        <v>63</v>
      </c>
      <c r="B7" s="16" t="s">
        <v>64</v>
      </c>
      <c r="C7" s="15" t="s">
        <v>65</v>
      </c>
      <c r="D7" s="17" t="n">
        <v>0.1</v>
      </c>
      <c r="E7" s="18" t="n">
        <f aca="false">D7*'Phase Quotation'!F17</f>
        <v>4776451.2</v>
      </c>
    </row>
    <row r="8" customFormat="false" ht="15" hidden="false" customHeight="false" outlineLevel="0" collapsed="false">
      <c r="A8" s="20" t="s">
        <v>66</v>
      </c>
      <c r="B8" s="20" t="s">
        <v>67</v>
      </c>
      <c r="C8" s="19" t="s">
        <v>68</v>
      </c>
      <c r="D8" s="17" t="n">
        <v>0.2</v>
      </c>
      <c r="E8" s="18" t="n">
        <f aca="false">D8*'Phase Quotation'!F17</f>
        <v>9552902.4</v>
      </c>
    </row>
    <row r="9" customFormat="false" ht="15" hidden="false" customHeight="false" outlineLevel="0" collapsed="false">
      <c r="A9" s="16" t="s">
        <v>69</v>
      </c>
      <c r="B9" s="16" t="s">
        <v>70</v>
      </c>
      <c r="C9" s="15" t="s">
        <v>71</v>
      </c>
      <c r="D9" s="17" t="n">
        <v>0.2</v>
      </c>
      <c r="E9" s="18" t="n">
        <f aca="false">D9*'Phase Quotation'!F17</f>
        <v>9552902.4</v>
      </c>
    </row>
    <row r="10" customFormat="false" ht="15" hidden="false" customHeight="false" outlineLevel="0" collapsed="false">
      <c r="A10" s="20" t="s">
        <v>72</v>
      </c>
      <c r="B10" s="20" t="s">
        <v>73</v>
      </c>
      <c r="C10" s="19" t="s">
        <v>74</v>
      </c>
      <c r="D10" s="17" t="n">
        <v>0.12</v>
      </c>
      <c r="E10" s="18" t="n">
        <f aca="false">D10*'Phase Quotation'!F17</f>
        <v>5731741.44</v>
      </c>
    </row>
    <row r="11" customFormat="false" ht="15" hidden="false" customHeight="false" outlineLevel="0" collapsed="false">
      <c r="A11" s="16" t="s">
        <v>75</v>
      </c>
      <c r="B11" s="16" t="s">
        <v>76</v>
      </c>
      <c r="C11" s="15" t="s">
        <v>48</v>
      </c>
      <c r="D11" s="17" t="n">
        <v>0.08</v>
      </c>
      <c r="E11" s="18" t="n">
        <f aca="false">D11*'Phase Quotation'!F17</f>
        <v>3821160.96</v>
      </c>
    </row>
    <row r="12" customFormat="false" ht="15" hidden="false" customHeight="false" outlineLevel="0" collapsed="false">
      <c r="A12" s="20" t="s">
        <v>77</v>
      </c>
      <c r="B12" s="20" t="s">
        <v>78</v>
      </c>
      <c r="C12" s="19" t="s">
        <v>48</v>
      </c>
      <c r="D12" s="17" t="n">
        <v>0.05</v>
      </c>
      <c r="E12" s="18" t="n">
        <f aca="false">D12*'Phase Quotation'!F17</f>
        <v>2388225.6</v>
      </c>
    </row>
    <row r="13" customFormat="false" ht="15" hidden="false" customHeight="false" outlineLevel="0" collapsed="false">
      <c r="A13" s="26" t="s">
        <v>79</v>
      </c>
      <c r="B13" s="27"/>
      <c r="C13" s="27"/>
      <c r="D13" s="28" t="n">
        <f aca="false">SUM(D5:D12)</f>
        <v>1</v>
      </c>
      <c r="E13" s="29" t="n">
        <f aca="false">SUM(E5:E12)</f>
        <v>47764512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9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18"/>
    <col collapsed="false" customWidth="true" hidden="false" outlineLevel="0" max="7" min="7" style="1" width="26"/>
  </cols>
  <sheetData>
    <row r="1" customFormat="false" ht="30" hidden="false" customHeight="true" outlineLevel="0" collapsed="false">
      <c r="A1" s="2" t="s">
        <v>80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81</v>
      </c>
      <c r="B2" s="3"/>
      <c r="C2" s="3"/>
      <c r="D2" s="3"/>
      <c r="E2" s="3"/>
      <c r="F2" s="3"/>
      <c r="G2" s="3"/>
    </row>
    <row r="4" customFormat="false" ht="23.85" hidden="false" customHeight="false" outlineLevel="0" collapsed="false">
      <c r="A4" s="4" t="s">
        <v>13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</row>
    <row r="5" customFormat="false" ht="15" hidden="false" customHeight="false" outlineLevel="0" collapsed="false">
      <c r="A5" s="30" t="n">
        <v>1</v>
      </c>
      <c r="B5" s="31" t="s">
        <v>88</v>
      </c>
      <c r="C5" s="30" t="n">
        <v>1</v>
      </c>
      <c r="D5" s="32" t="n">
        <v>250000</v>
      </c>
      <c r="E5" s="33" t="n">
        <v>11</v>
      </c>
      <c r="F5" s="18" t="n">
        <f aca="false">D5*E5</f>
        <v>2750000</v>
      </c>
      <c r="G5" s="34" t="s">
        <v>89</v>
      </c>
    </row>
    <row r="6" customFormat="false" ht="15" hidden="false" customHeight="false" outlineLevel="0" collapsed="false">
      <c r="A6" s="35" t="n">
        <v>2</v>
      </c>
      <c r="B6" s="36" t="s">
        <v>90</v>
      </c>
      <c r="C6" s="35" t="n">
        <v>1</v>
      </c>
      <c r="D6" s="32" t="n">
        <v>160000</v>
      </c>
      <c r="E6" s="33" t="n">
        <v>8</v>
      </c>
      <c r="F6" s="37" t="n">
        <f aca="false">D6*E6</f>
        <v>1280000</v>
      </c>
      <c r="G6" s="38" t="s">
        <v>91</v>
      </c>
    </row>
    <row r="7" customFormat="false" ht="15" hidden="false" customHeight="false" outlineLevel="0" collapsed="false">
      <c r="A7" s="30" t="n">
        <v>3</v>
      </c>
      <c r="B7" s="31" t="s">
        <v>92</v>
      </c>
      <c r="C7" s="30" t="n">
        <v>1</v>
      </c>
      <c r="D7" s="32" t="n">
        <v>280000</v>
      </c>
      <c r="E7" s="33" t="n">
        <v>9</v>
      </c>
      <c r="F7" s="18" t="n">
        <f aca="false">D7*E7</f>
        <v>2520000</v>
      </c>
      <c r="G7" s="34" t="s">
        <v>93</v>
      </c>
    </row>
    <row r="8" customFormat="false" ht="15" hidden="false" customHeight="false" outlineLevel="0" collapsed="false">
      <c r="A8" s="35" t="n">
        <v>4</v>
      </c>
      <c r="B8" s="36" t="s">
        <v>94</v>
      </c>
      <c r="C8" s="35" t="n">
        <v>1</v>
      </c>
      <c r="D8" s="32" t="n">
        <v>140000</v>
      </c>
      <c r="E8" s="33" t="n">
        <v>9</v>
      </c>
      <c r="F8" s="37" t="n">
        <f aca="false">D8*E8</f>
        <v>1260000</v>
      </c>
      <c r="G8" s="38" t="s">
        <v>95</v>
      </c>
    </row>
    <row r="9" customFormat="false" ht="15" hidden="false" customHeight="false" outlineLevel="0" collapsed="false">
      <c r="A9" s="30" t="n">
        <v>5</v>
      </c>
      <c r="B9" s="31" t="s">
        <v>96</v>
      </c>
      <c r="C9" s="30" t="n">
        <v>2</v>
      </c>
      <c r="D9" s="32" t="n">
        <v>120000</v>
      </c>
      <c r="E9" s="33" t="n">
        <v>12</v>
      </c>
      <c r="F9" s="18" t="n">
        <f aca="false">D9*E9</f>
        <v>1440000</v>
      </c>
      <c r="G9" s="34" t="s">
        <v>97</v>
      </c>
    </row>
    <row r="10" customFormat="false" ht="15" hidden="false" customHeight="false" outlineLevel="0" collapsed="false">
      <c r="A10" s="35" t="n">
        <v>6</v>
      </c>
      <c r="B10" s="36" t="s">
        <v>98</v>
      </c>
      <c r="C10" s="35" t="n">
        <v>4</v>
      </c>
      <c r="D10" s="32" t="n">
        <v>130000</v>
      </c>
      <c r="E10" s="33" t="n">
        <v>28</v>
      </c>
      <c r="F10" s="37" t="n">
        <f aca="false">D10*E10</f>
        <v>3640000</v>
      </c>
      <c r="G10" s="38" t="s">
        <v>99</v>
      </c>
    </row>
    <row r="11" customFormat="false" ht="15" hidden="false" customHeight="false" outlineLevel="0" collapsed="false">
      <c r="A11" s="30" t="n">
        <v>7</v>
      </c>
      <c r="B11" s="31" t="s">
        <v>100</v>
      </c>
      <c r="C11" s="30" t="n">
        <v>5</v>
      </c>
      <c r="D11" s="32" t="n">
        <v>150000</v>
      </c>
      <c r="E11" s="33" t="n">
        <v>38</v>
      </c>
      <c r="F11" s="18" t="n">
        <f aca="false">D11*E11</f>
        <v>5700000</v>
      </c>
      <c r="G11" s="34" t="s">
        <v>101</v>
      </c>
    </row>
    <row r="12" customFormat="false" ht="15" hidden="false" customHeight="false" outlineLevel="0" collapsed="false">
      <c r="A12" s="35" t="n">
        <v>8</v>
      </c>
      <c r="B12" s="36" t="s">
        <v>102</v>
      </c>
      <c r="C12" s="35" t="n">
        <v>3</v>
      </c>
      <c r="D12" s="32" t="n">
        <v>140000</v>
      </c>
      <c r="E12" s="33" t="n">
        <v>21</v>
      </c>
      <c r="F12" s="37" t="n">
        <f aca="false">D12*E12</f>
        <v>2940000</v>
      </c>
      <c r="G12" s="38" t="s">
        <v>99</v>
      </c>
    </row>
    <row r="13" customFormat="false" ht="15" hidden="false" customHeight="false" outlineLevel="0" collapsed="false">
      <c r="A13" s="30" t="n">
        <v>9</v>
      </c>
      <c r="B13" s="31" t="s">
        <v>103</v>
      </c>
      <c r="C13" s="30" t="n">
        <v>2</v>
      </c>
      <c r="D13" s="32" t="n">
        <v>160000</v>
      </c>
      <c r="E13" s="33" t="n">
        <v>16</v>
      </c>
      <c r="F13" s="18" t="n">
        <f aca="false">D13*E13</f>
        <v>2560000</v>
      </c>
      <c r="G13" s="34" t="s">
        <v>104</v>
      </c>
    </row>
    <row r="14" customFormat="false" ht="15" hidden="false" customHeight="false" outlineLevel="0" collapsed="false">
      <c r="A14" s="35" t="n">
        <v>10</v>
      </c>
      <c r="B14" s="36" t="s">
        <v>105</v>
      </c>
      <c r="C14" s="35" t="n">
        <v>1</v>
      </c>
      <c r="D14" s="32" t="n">
        <v>170000</v>
      </c>
      <c r="E14" s="33" t="n">
        <v>7</v>
      </c>
      <c r="F14" s="37" t="n">
        <f aca="false">D14*E14</f>
        <v>1190000</v>
      </c>
      <c r="G14" s="38" t="s">
        <v>106</v>
      </c>
    </row>
    <row r="15" customFormat="false" ht="15" hidden="false" customHeight="false" outlineLevel="0" collapsed="false">
      <c r="A15" s="30" t="n">
        <v>11</v>
      </c>
      <c r="B15" s="31" t="s">
        <v>107</v>
      </c>
      <c r="C15" s="30" t="n">
        <v>4</v>
      </c>
      <c r="D15" s="32" t="n">
        <v>100000</v>
      </c>
      <c r="E15" s="33" t="n">
        <v>24</v>
      </c>
      <c r="F15" s="18" t="n">
        <f aca="false">D15*E15</f>
        <v>2400000</v>
      </c>
      <c r="G15" s="34" t="s">
        <v>108</v>
      </c>
    </row>
    <row r="16" customFormat="false" ht="15" hidden="false" customHeight="false" outlineLevel="0" collapsed="false">
      <c r="A16" s="35" t="n">
        <v>12</v>
      </c>
      <c r="B16" s="36" t="s">
        <v>109</v>
      </c>
      <c r="C16" s="35" t="n">
        <v>1</v>
      </c>
      <c r="D16" s="32" t="n">
        <v>200000</v>
      </c>
      <c r="E16" s="33" t="n">
        <v>3</v>
      </c>
      <c r="F16" s="37" t="n">
        <f aca="false">D16*E16</f>
        <v>600000</v>
      </c>
      <c r="G16" s="38" t="s">
        <v>110</v>
      </c>
    </row>
    <row r="17" customFormat="false" ht="15" hidden="false" customHeight="false" outlineLevel="0" collapsed="false">
      <c r="A17" s="39"/>
      <c r="B17" s="39" t="s">
        <v>111</v>
      </c>
      <c r="C17" s="40" t="n">
        <f aca="false">SUM(C5:C16)</f>
        <v>26</v>
      </c>
      <c r="D17" s="39"/>
      <c r="E17" s="40" t="n">
        <f aca="false">SUM(E5:E16)</f>
        <v>186</v>
      </c>
      <c r="F17" s="41" t="n">
        <f aca="false">SUM(F5:F16)</f>
        <v>28280000</v>
      </c>
      <c r="G17" s="39"/>
    </row>
    <row r="19" customFormat="false" ht="15" hidden="false" customHeight="false" outlineLevel="0" collapsed="false">
      <c r="B19" s="42" t="s">
        <v>112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52"/>
    <col collapsed="false" customWidth="true" hidden="false" outlineLevel="0" max="4" min="4" style="1" width="18"/>
  </cols>
  <sheetData>
    <row r="1" customFormat="false" ht="30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114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13</v>
      </c>
      <c r="B4" s="4" t="s">
        <v>115</v>
      </c>
      <c r="C4" s="4" t="s">
        <v>116</v>
      </c>
      <c r="D4" s="4" t="s">
        <v>3</v>
      </c>
    </row>
    <row r="5" customFormat="false" ht="23.85" hidden="false" customHeight="false" outlineLevel="0" collapsed="false">
      <c r="A5" s="30" t="n">
        <v>1</v>
      </c>
      <c r="B5" s="16" t="s">
        <v>117</v>
      </c>
      <c r="C5" s="16" t="s">
        <v>118</v>
      </c>
      <c r="D5" s="32" t="n">
        <v>1800000</v>
      </c>
    </row>
    <row r="6" customFormat="false" ht="23.85" hidden="false" customHeight="false" outlineLevel="0" collapsed="false">
      <c r="A6" s="35" t="n">
        <v>2</v>
      </c>
      <c r="B6" s="20" t="s">
        <v>119</v>
      </c>
      <c r="C6" s="20" t="s">
        <v>120</v>
      </c>
      <c r="D6" s="32" t="n">
        <v>650000</v>
      </c>
    </row>
    <row r="7" customFormat="false" ht="23.85" hidden="false" customHeight="false" outlineLevel="0" collapsed="false">
      <c r="A7" s="30" t="n">
        <v>3</v>
      </c>
      <c r="B7" s="16" t="s">
        <v>121</v>
      </c>
      <c r="C7" s="16" t="s">
        <v>122</v>
      </c>
      <c r="D7" s="32" t="n">
        <v>900000</v>
      </c>
    </row>
    <row r="8" customFormat="false" ht="23.85" hidden="false" customHeight="false" outlineLevel="0" collapsed="false">
      <c r="A8" s="35" t="n">
        <v>4</v>
      </c>
      <c r="B8" s="20" t="s">
        <v>123</v>
      </c>
      <c r="C8" s="20" t="s">
        <v>124</v>
      </c>
      <c r="D8" s="32" t="n">
        <v>750000</v>
      </c>
    </row>
    <row r="9" customFormat="false" ht="15" hidden="false" customHeight="false" outlineLevel="0" collapsed="false">
      <c r="A9" s="30" t="n">
        <v>5</v>
      </c>
      <c r="B9" s="16" t="s">
        <v>125</v>
      </c>
      <c r="C9" s="16" t="s">
        <v>126</v>
      </c>
      <c r="D9" s="32" t="n">
        <v>450000</v>
      </c>
    </row>
    <row r="10" customFormat="false" ht="23.85" hidden="false" customHeight="false" outlineLevel="0" collapsed="false">
      <c r="A10" s="35" t="n">
        <v>6</v>
      </c>
      <c r="B10" s="20" t="s">
        <v>127</v>
      </c>
      <c r="C10" s="20" t="s">
        <v>128</v>
      </c>
      <c r="D10" s="32" t="n">
        <v>500000</v>
      </c>
    </row>
    <row r="11" customFormat="false" ht="15" hidden="false" customHeight="false" outlineLevel="0" collapsed="false">
      <c r="A11" s="30" t="n">
        <v>7</v>
      </c>
      <c r="B11" s="16" t="s">
        <v>129</v>
      </c>
      <c r="C11" s="16" t="s">
        <v>130</v>
      </c>
      <c r="D11" s="32" t="n">
        <v>3500000</v>
      </c>
    </row>
    <row r="12" customFormat="false" ht="15" hidden="false" customHeight="false" outlineLevel="0" collapsed="false">
      <c r="A12" s="35" t="n">
        <v>8</v>
      </c>
      <c r="B12" s="20" t="s">
        <v>131</v>
      </c>
      <c r="C12" s="20" t="s">
        <v>132</v>
      </c>
      <c r="D12" s="32" t="n">
        <v>300000</v>
      </c>
    </row>
    <row r="13" customFormat="false" ht="15" hidden="false" customHeight="false" outlineLevel="0" collapsed="false">
      <c r="A13" s="30" t="n">
        <v>9</v>
      </c>
      <c r="B13" s="16" t="s">
        <v>133</v>
      </c>
      <c r="C13" s="16" t="s">
        <v>134</v>
      </c>
      <c r="D13" s="32" t="n">
        <v>350000</v>
      </c>
    </row>
    <row r="14" customFormat="false" ht="15" hidden="false" customHeight="false" outlineLevel="0" collapsed="false">
      <c r="A14" s="39"/>
      <c r="B14" s="39" t="s">
        <v>135</v>
      </c>
      <c r="C14" s="39"/>
      <c r="D14" s="41" t="n">
        <f aca="false">SUM(D5:D13)</f>
        <v>9200000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2026-06-07T04:24:49Z</dcterms:created>
  <dc:creator>openpyxl</dc:creator>
  <dc:description/>
  <dc:language>en-US</dc:language>
  <cp:lastModifiedBy/>
  <dcterms:modified xsi:type="dcterms:W3CDTF">2026-06-07T04:24:49Z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